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예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<sst xmlns="http://schemas.openxmlformats.org/spreadsheetml/2006/main" count="144" uniqueCount="106">
  <si>
    <t xml:space="preserve">RIGHT GUARD</t>
  </si>
  <si>
    <r>
      <rPr>
        <b val="true"/>
        <sz val="10"/>
        <color rgb="FF6E0019"/>
        <rFont val="Arial"/>
        <family val="0"/>
        <charset val="1"/>
      </rPr>
      <t xml:space="preserve">RIGHT TURN, RIGHT TIME · </t>
    </r>
    <r>
      <rPr>
        <b val="true"/>
        <sz val="10"/>
        <color rgb="FF6E0019"/>
        <rFont val="Noto Sans CJK SC"/>
        <family val="2"/>
      </rPr>
      <t xml:space="preserve">부품 </t>
    </r>
    <r>
      <rPr>
        <b val="true"/>
        <sz val="10"/>
        <color rgb="FF6E0019"/>
        <rFont val="Arial"/>
        <family val="0"/>
        <charset val="1"/>
      </rPr>
      <t xml:space="preserve">BOM </t>
    </r>
    <r>
      <rPr>
        <b val="true"/>
        <sz val="10"/>
        <color rgb="FF6E0019"/>
        <rFont val="Noto Sans CJK SC"/>
        <family val="2"/>
      </rPr>
      <t xml:space="preserve">및 예산 </t>
    </r>
    <r>
      <rPr>
        <b val="true"/>
        <sz val="10"/>
        <color rgb="FF6E0019"/>
        <rFont val="Arial"/>
        <family val="0"/>
        <charset val="1"/>
      </rPr>
      <t xml:space="preserve">· KU CreativeX CRP</t>
    </r>
  </si>
  <si>
    <r>
      <rPr>
        <i val="true"/>
        <sz val="9"/>
        <color rgb="FF6E0019"/>
        <rFont val="Arial"/>
        <family val="0"/>
        <charset val="1"/>
      </rPr>
      <t xml:space="preserve">※ K</t>
    </r>
    <r>
      <rPr>
        <i val="true"/>
        <sz val="9"/>
        <color rgb="FF6E0019"/>
        <rFont val="Noto Sans CJK SC"/>
        <family val="2"/>
      </rPr>
      <t xml:space="preserve">열 링크 </t>
    </r>
    <r>
      <rPr>
        <i val="true"/>
        <sz val="9"/>
        <color rgb="FF6E0019"/>
        <rFont val="Arial"/>
        <family val="0"/>
        <charset val="1"/>
      </rPr>
      <t xml:space="preserve">= </t>
    </r>
    <r>
      <rPr>
        <i val="true"/>
        <sz val="9"/>
        <color rgb="FF6E0019"/>
        <rFont val="Noto Sans CJK SC"/>
        <family val="2"/>
      </rPr>
      <t xml:space="preserve">실제 판매 페이지</t>
    </r>
    <r>
      <rPr>
        <i val="true"/>
        <sz val="9"/>
        <color rgb="FF6E0019"/>
        <rFont val="Arial"/>
        <family val="0"/>
        <charset val="1"/>
      </rPr>
      <t xml:space="preserve">(2026-06 </t>
    </r>
    <r>
      <rPr>
        <i val="true"/>
        <sz val="9"/>
        <color rgb="FF6E0019"/>
        <rFont val="Noto Sans CJK SC"/>
        <family val="2"/>
      </rPr>
      <t xml:space="preserve">조회</t>
    </r>
    <r>
      <rPr>
        <i val="true"/>
        <sz val="9"/>
        <color rgb="FF6E0019"/>
        <rFont val="Arial"/>
        <family val="0"/>
        <charset val="1"/>
      </rPr>
      <t xml:space="preserve">). ‘</t>
    </r>
    <r>
      <rPr>
        <i val="true"/>
        <sz val="9"/>
        <color rgb="FF6E0019"/>
        <rFont val="Noto Sans CJK SC"/>
        <family val="2"/>
      </rPr>
      <t xml:space="preserve">예상치’ </t>
    </r>
    <r>
      <rPr>
        <i val="true"/>
        <sz val="9"/>
        <color rgb="FF6E0019"/>
        <rFont val="Arial"/>
        <family val="0"/>
        <charset val="1"/>
      </rPr>
      <t xml:space="preserve">= </t>
    </r>
    <r>
      <rPr>
        <i val="true"/>
        <sz val="9"/>
        <color rgb="FF6E0019"/>
        <rFont val="Noto Sans CJK SC"/>
        <family val="2"/>
      </rPr>
      <t xml:space="preserve">일반 유통가 추정</t>
    </r>
    <r>
      <rPr>
        <i val="true"/>
        <sz val="9"/>
        <color rgb="FF6E0019"/>
        <rFont val="Arial"/>
        <family val="0"/>
        <charset val="1"/>
      </rPr>
      <t xml:space="preserve">.  </t>
    </r>
    <r>
      <rPr>
        <i val="true"/>
        <sz val="9"/>
        <color rgb="FF6E0019"/>
        <rFont val="Noto Sans CJK SC"/>
        <family val="2"/>
      </rPr>
      <t xml:space="preserve">연한 노란 칸 </t>
    </r>
    <r>
      <rPr>
        <i val="true"/>
        <sz val="9"/>
        <color rgb="FF6E0019"/>
        <rFont val="Arial"/>
        <family val="0"/>
        <charset val="1"/>
      </rPr>
      <t xml:space="preserve">= </t>
    </r>
    <r>
      <rPr>
        <i val="true"/>
        <sz val="9"/>
        <color rgb="FF6E0019"/>
        <rFont val="Noto Sans CJK SC"/>
        <family val="2"/>
      </rPr>
      <t xml:space="preserve">직접 수정 입력</t>
    </r>
    <r>
      <rPr>
        <i val="true"/>
        <sz val="9"/>
        <color rgb="FF6E0019"/>
        <rFont val="Arial"/>
        <family val="0"/>
        <charset val="1"/>
      </rPr>
      <t xml:space="preserve">(</t>
    </r>
    <r>
      <rPr>
        <i val="true"/>
        <sz val="9"/>
        <color rgb="FF6E0019"/>
        <rFont val="Noto Sans CJK SC"/>
        <family val="2"/>
      </rPr>
      <t xml:space="preserve">수량</t>
    </r>
    <r>
      <rPr>
        <i val="true"/>
        <sz val="9"/>
        <color rgb="FF6E0019"/>
        <rFont val="Arial"/>
        <family val="0"/>
        <charset val="1"/>
      </rPr>
      <t xml:space="preserve">·</t>
    </r>
    <r>
      <rPr>
        <i val="true"/>
        <sz val="9"/>
        <color rgb="FF6E0019"/>
        <rFont val="Noto Sans CJK SC"/>
        <family val="2"/>
      </rPr>
      <t xml:space="preserve">단가</t>
    </r>
    <r>
      <rPr>
        <i val="true"/>
        <sz val="9"/>
        <color rgb="FF6E0019"/>
        <rFont val="Arial"/>
        <family val="0"/>
        <charset val="1"/>
      </rPr>
      <t xml:space="preserve">).  </t>
    </r>
    <r>
      <rPr>
        <i val="true"/>
        <sz val="9"/>
        <color rgb="FF6E0019"/>
        <rFont val="Noto Sans CJK SC"/>
        <family val="2"/>
      </rPr>
      <t xml:space="preserve">우선순위</t>
    </r>
    <r>
      <rPr>
        <i val="true"/>
        <sz val="9"/>
        <color rgb="FF6E0019"/>
        <rFont val="Arial"/>
        <family val="0"/>
        <charset val="1"/>
      </rPr>
      <t xml:space="preserve">: </t>
    </r>
    <r>
      <rPr>
        <i val="true"/>
        <sz val="9"/>
        <color rgb="FF6E0019"/>
        <rFont val="Noto Sans CJK SC"/>
        <family val="2"/>
      </rPr>
      <t xml:space="preserve">필수</t>
    </r>
    <r>
      <rPr>
        <i val="true"/>
        <sz val="9"/>
        <color rgb="FF6E0019"/>
        <rFont val="Arial"/>
        <family val="0"/>
        <charset val="1"/>
      </rPr>
      <t xml:space="preserve">=</t>
    </r>
    <r>
      <rPr>
        <i val="true"/>
        <sz val="9"/>
        <color rgb="FF6E0019"/>
        <rFont val="Noto Sans CJK SC"/>
        <family val="2"/>
      </rPr>
      <t xml:space="preserve">연한 크림슨 </t>
    </r>
    <r>
      <rPr>
        <i val="true"/>
        <sz val="9"/>
        <color rgb="FF6E0019"/>
        <rFont val="Arial"/>
        <family val="0"/>
        <charset val="1"/>
      </rPr>
      <t xml:space="preserve">/ </t>
    </r>
    <r>
      <rPr>
        <i val="true"/>
        <sz val="9"/>
        <color rgb="FF6E0019"/>
        <rFont val="Noto Sans CJK SC"/>
        <family val="2"/>
      </rPr>
      <t xml:space="preserve">선택</t>
    </r>
    <r>
      <rPr>
        <i val="true"/>
        <sz val="9"/>
        <color rgb="FF6E0019"/>
        <rFont val="Arial"/>
        <family val="0"/>
        <charset val="1"/>
      </rPr>
      <t xml:space="preserve">=</t>
    </r>
    <r>
      <rPr>
        <i val="true"/>
        <sz val="9"/>
        <color rgb="FF6E0019"/>
        <rFont val="Noto Sans CJK SC"/>
        <family val="2"/>
      </rPr>
      <t xml:space="preserve">아이보리 </t>
    </r>
    <r>
      <rPr>
        <i val="true"/>
        <sz val="9"/>
        <color rgb="FF6E0019"/>
        <rFont val="Arial"/>
        <family val="0"/>
        <charset val="1"/>
      </rPr>
      <t xml:space="preserve">/ </t>
    </r>
    <r>
      <rPr>
        <i val="true"/>
        <sz val="9"/>
        <color rgb="FF6E0019"/>
        <rFont val="Noto Sans CJK SC"/>
        <family val="2"/>
      </rPr>
      <t xml:space="preserve">하반기</t>
    </r>
    <r>
      <rPr>
        <i val="true"/>
        <sz val="9"/>
        <color rgb="FF6E0019"/>
        <rFont val="Arial"/>
        <family val="0"/>
        <charset val="1"/>
      </rPr>
      <t xml:space="preserve">=</t>
    </r>
    <r>
      <rPr>
        <i val="true"/>
        <sz val="9"/>
        <color rgb="FF6E0019"/>
        <rFont val="Noto Sans CJK SC"/>
        <family val="2"/>
      </rPr>
      <t xml:space="preserve">회색</t>
    </r>
    <r>
      <rPr>
        <i val="true"/>
        <sz val="9"/>
        <color rgb="FF6E0019"/>
        <rFont val="Arial"/>
        <family val="0"/>
        <charset val="1"/>
      </rPr>
      <t xml:space="preserve">.  </t>
    </r>
    <r>
      <rPr>
        <i val="true"/>
        <sz val="9"/>
        <color rgb="FF6E0019"/>
        <rFont val="Noto Sans CJK SC"/>
        <family val="2"/>
      </rPr>
      <t xml:space="preserve">가격</t>
    </r>
    <r>
      <rPr>
        <i val="true"/>
        <sz val="9"/>
        <color rgb="FF6E0019"/>
        <rFont val="Arial"/>
        <family val="0"/>
        <charset val="1"/>
      </rPr>
      <t xml:space="preserve">·</t>
    </r>
    <r>
      <rPr>
        <i val="true"/>
        <sz val="9"/>
        <color rgb="FF6E0019"/>
        <rFont val="Noto Sans CJK SC"/>
        <family val="2"/>
      </rPr>
      <t xml:space="preserve">배송비는 주문 시 확인</t>
    </r>
    <r>
      <rPr>
        <i val="true"/>
        <sz val="9"/>
        <color rgb="FF6E0019"/>
        <rFont val="Arial"/>
        <family val="0"/>
        <charset val="1"/>
      </rPr>
      <t xml:space="preserve">.</t>
    </r>
  </si>
  <si>
    <t xml:space="preserve">번호</t>
  </si>
  <si>
    <t xml:space="preserve">분류</t>
  </si>
  <si>
    <t xml:space="preserve">품목</t>
  </si>
  <si>
    <r>
      <rPr>
        <b val="true"/>
        <sz val="10"/>
        <color rgb="FFE7DECE"/>
        <rFont val="Noto Sans CJK SC"/>
        <family val="2"/>
      </rPr>
      <t xml:space="preserve">사양</t>
    </r>
    <r>
      <rPr>
        <b val="true"/>
        <sz val="10"/>
        <color rgb="FFE7DECE"/>
        <rFont val="Arial"/>
        <family val="0"/>
        <charset val="1"/>
      </rPr>
      <t xml:space="preserve">/</t>
    </r>
    <r>
      <rPr>
        <b val="true"/>
        <sz val="10"/>
        <color rgb="FFE7DECE"/>
        <rFont val="Noto Sans CJK SC"/>
        <family val="2"/>
      </rPr>
      <t xml:space="preserve">모델</t>
    </r>
  </si>
  <si>
    <t xml:space="preserve">우선순위</t>
  </si>
  <si>
    <t xml:space="preserve">수량</t>
  </si>
  <si>
    <r>
      <rPr>
        <b val="true"/>
        <sz val="10"/>
        <color rgb="FFE7DECE"/>
        <rFont val="Noto Sans CJK SC"/>
        <family val="2"/>
      </rPr>
      <t xml:space="preserve">단가 </t>
    </r>
    <r>
      <rPr>
        <b val="true"/>
        <sz val="10"/>
        <color rgb="FFE7DECE"/>
        <rFont val="Arial"/>
        <family val="0"/>
        <charset val="1"/>
      </rPr>
      <t xml:space="preserve">(</t>
    </r>
    <r>
      <rPr>
        <b val="true"/>
        <sz val="10"/>
        <color rgb="FFE7DECE"/>
        <rFont val="Noto Sans CJK SC"/>
        <family val="2"/>
      </rPr>
      <t xml:space="preserve">원</t>
    </r>
    <r>
      <rPr>
        <b val="true"/>
        <sz val="10"/>
        <color rgb="FFE7DECE"/>
        <rFont val="Arial"/>
        <family val="0"/>
        <charset val="1"/>
      </rPr>
      <t xml:space="preserve">)</t>
    </r>
  </si>
  <si>
    <r>
      <rPr>
        <b val="true"/>
        <sz val="10"/>
        <color rgb="FFE7DECE"/>
        <rFont val="Noto Sans CJK SC"/>
        <family val="2"/>
      </rPr>
      <t xml:space="preserve">금액 </t>
    </r>
    <r>
      <rPr>
        <b val="true"/>
        <sz val="10"/>
        <color rgb="FFE7DECE"/>
        <rFont val="Arial"/>
        <family val="0"/>
        <charset val="1"/>
      </rPr>
      <t xml:space="preserve">(</t>
    </r>
    <r>
      <rPr>
        <b val="true"/>
        <sz val="10"/>
        <color rgb="FFE7DECE"/>
        <rFont val="Noto Sans CJK SC"/>
        <family val="2"/>
      </rPr>
      <t xml:space="preserve">원</t>
    </r>
    <r>
      <rPr>
        <b val="true"/>
        <sz val="10"/>
        <color rgb="FFE7DECE"/>
        <rFont val="Arial"/>
        <family val="0"/>
        <charset val="1"/>
      </rPr>
      <t xml:space="preserve">)</t>
    </r>
  </si>
  <si>
    <t xml:space="preserve">용도</t>
  </si>
  <si>
    <t xml:space="preserve">비고</t>
  </si>
  <si>
    <r>
      <rPr>
        <b val="true"/>
        <sz val="10"/>
        <color rgb="FFE7DECE"/>
        <rFont val="Noto Sans CJK SC"/>
        <family val="2"/>
      </rPr>
      <t xml:space="preserve">출처</t>
    </r>
    <r>
      <rPr>
        <b val="true"/>
        <sz val="10"/>
        <color rgb="FFE7DECE"/>
        <rFont val="Arial"/>
        <family val="0"/>
        <charset val="1"/>
      </rPr>
      <t xml:space="preserve">/</t>
    </r>
    <r>
      <rPr>
        <b val="true"/>
        <sz val="10"/>
        <color rgb="FFE7DECE"/>
        <rFont val="Noto Sans CJK SC"/>
        <family val="2"/>
      </rPr>
      <t xml:space="preserve">링크</t>
    </r>
  </si>
  <si>
    <r>
      <rPr>
        <sz val="10"/>
        <rFont val="Noto Sans CJK SC"/>
        <family val="2"/>
      </rPr>
      <t xml:space="preserve">제어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컴퓨팅</t>
    </r>
  </si>
  <si>
    <r>
      <rPr>
        <sz val="10"/>
        <rFont val="Noto Sans CJK SC"/>
        <family val="2"/>
      </rPr>
      <t xml:space="preserve">라즈베리 파이 </t>
    </r>
    <r>
      <rPr>
        <sz val="10"/>
        <rFont val="Arial"/>
        <family val="0"/>
        <charset val="1"/>
      </rPr>
      <t xml:space="preserve">4 (4GB)</t>
    </r>
  </si>
  <si>
    <r>
      <rPr>
        <sz val="10"/>
        <rFont val="Arial"/>
        <family val="0"/>
        <charset val="1"/>
      </rPr>
      <t xml:space="preserve">Model B 4GB (</t>
    </r>
    <r>
      <rPr>
        <sz val="10"/>
        <rFont val="Noto Sans CJK SC"/>
        <family val="2"/>
      </rPr>
      <t xml:space="preserve">방열판 포함</t>
    </r>
    <r>
      <rPr>
        <sz val="10"/>
        <rFont val="Arial"/>
        <family val="0"/>
        <charset val="1"/>
      </rPr>
      <t xml:space="preserve">)</t>
    </r>
  </si>
  <si>
    <t xml:space="preserve">필수</t>
  </si>
  <si>
    <t xml:space="preserve">메인 제어 보드</t>
  </si>
  <si>
    <t xml:space="preserve">방열판 포함 구성</t>
  </si>
  <si>
    <t xml:space="preserve">아이씨뱅큐</t>
  </si>
  <si>
    <r>
      <rPr>
        <sz val="10"/>
        <rFont val="Noto Sans CJK SC"/>
        <family val="2"/>
      </rPr>
      <t xml:space="preserve">정품 </t>
    </r>
    <r>
      <rPr>
        <sz val="10"/>
        <rFont val="Arial"/>
        <family val="0"/>
        <charset val="1"/>
      </rPr>
      <t xml:space="preserve">USB-C </t>
    </r>
    <r>
      <rPr>
        <sz val="10"/>
        <rFont val="Noto Sans CJK SC"/>
        <family val="2"/>
      </rPr>
      <t xml:space="preserve">어댑터</t>
    </r>
  </si>
  <si>
    <r>
      <rPr>
        <sz val="10"/>
        <rFont val="Arial"/>
        <family val="0"/>
        <charset val="1"/>
      </rPr>
      <t xml:space="preserve">5V/3A KC</t>
    </r>
    <r>
      <rPr>
        <sz val="10"/>
        <rFont val="Noto Sans CJK SC"/>
        <family val="2"/>
      </rPr>
      <t xml:space="preserve">인증</t>
    </r>
  </si>
  <si>
    <t xml:space="preserve">안정 전원</t>
  </si>
  <si>
    <t xml:space="preserve">저전압 경고 방지</t>
  </si>
  <si>
    <r>
      <rPr>
        <sz val="10"/>
        <rFont val="Arial"/>
        <family val="0"/>
        <charset val="1"/>
      </rPr>
      <t xml:space="preserve">microSD </t>
    </r>
    <r>
      <rPr>
        <sz val="10"/>
        <rFont val="Noto Sans CJK SC"/>
        <family val="2"/>
      </rPr>
      <t xml:space="preserve">카드</t>
    </r>
  </si>
  <si>
    <t xml:space="preserve">32GB Class10</t>
  </si>
  <si>
    <r>
      <rPr>
        <sz val="10"/>
        <rFont val="Arial"/>
        <family val="0"/>
        <charset val="1"/>
      </rPr>
      <t xml:space="preserve">OS </t>
    </r>
    <r>
      <rPr>
        <sz val="10"/>
        <rFont val="Noto Sans CJK SC"/>
        <family val="2"/>
      </rPr>
      <t xml:space="preserve">저장</t>
    </r>
  </si>
  <si>
    <r>
      <rPr>
        <sz val="10"/>
        <rFont val="Arial"/>
        <family val="0"/>
        <charset val="1"/>
      </rPr>
      <t xml:space="preserve">32GB 1</t>
    </r>
    <r>
      <rPr>
        <sz val="10"/>
        <rFont val="Noto Sans CJK SC"/>
        <family val="2"/>
      </rPr>
      <t xml:space="preserve">만원 이하</t>
    </r>
  </si>
  <si>
    <t xml:space="preserve">시중가 참고</t>
  </si>
  <si>
    <t xml:space="preserve">전용 케이스</t>
  </si>
  <si>
    <r>
      <rPr>
        <sz val="10"/>
        <rFont val="Arial"/>
        <family val="0"/>
        <charset val="1"/>
      </rPr>
      <t xml:space="preserve">Pi4</t>
    </r>
    <r>
      <rPr>
        <sz val="10"/>
        <rFont val="Noto Sans CJK SC"/>
        <family val="2"/>
      </rPr>
      <t xml:space="preserve">용</t>
    </r>
  </si>
  <si>
    <t xml:space="preserve">선택</t>
  </si>
  <si>
    <t xml:space="preserve">보호</t>
  </si>
  <si>
    <t xml:space="preserve">방열판은 보드에 포함</t>
  </si>
  <si>
    <t xml:space="preserve">예상치</t>
  </si>
  <si>
    <t xml:space="preserve">센서</t>
  </si>
  <si>
    <r>
      <rPr>
        <sz val="10"/>
        <rFont val="Noto Sans CJK SC"/>
        <family val="2"/>
      </rPr>
      <t xml:space="preserve">초음파 센서 </t>
    </r>
    <r>
      <rPr>
        <sz val="10"/>
        <rFont val="Arial"/>
        <family val="0"/>
        <charset val="1"/>
      </rPr>
      <t xml:space="preserve">HC-SR04P</t>
    </r>
  </si>
  <si>
    <r>
      <rPr>
        <sz val="10"/>
        <rFont val="Arial"/>
        <family val="0"/>
        <charset val="1"/>
      </rPr>
      <t xml:space="preserve">3.3V </t>
    </r>
    <r>
      <rPr>
        <sz val="10"/>
        <rFont val="Noto Sans CJK SC"/>
        <family val="2"/>
      </rPr>
      <t xml:space="preserve">동작형</t>
    </r>
  </si>
  <si>
    <t xml:space="preserve">보행자 거리 감지</t>
  </si>
  <si>
    <r>
      <rPr>
        <sz val="10"/>
        <rFont val="Noto Sans CJK SC"/>
        <family val="2"/>
      </rPr>
      <t xml:space="preserve">기본형 </t>
    </r>
    <r>
      <rPr>
        <sz val="10"/>
        <rFont val="Arial"/>
        <family val="0"/>
        <charset val="1"/>
      </rPr>
      <t xml:space="preserve">1,100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에듀이노</t>
    </r>
    <r>
      <rPr>
        <sz val="10"/>
        <rFont val="Arial"/>
        <family val="0"/>
        <charset val="1"/>
      </rPr>
      <t xml:space="preserve">)·3.3V</t>
    </r>
    <r>
      <rPr>
        <sz val="10"/>
        <rFont val="Noto Sans CJK SC"/>
        <family val="2"/>
      </rPr>
      <t xml:space="preserve">형 약간↑</t>
    </r>
  </si>
  <si>
    <t xml:space="preserve">에듀이노(기본형)</t>
  </si>
  <si>
    <t xml:space="preserve">마이크로웨이브 모션 모듈</t>
  </si>
  <si>
    <t xml:space="preserve">RCWL-0516</t>
  </si>
  <si>
    <t xml:space="preserve">움직임 교차검증</t>
  </si>
  <si>
    <t xml:space="preserve">오감지↓</t>
  </si>
  <si>
    <t xml:space="preserve">도플러 속도 모듈</t>
  </si>
  <si>
    <t xml:space="preserve">HB100</t>
  </si>
  <si>
    <r>
      <rPr>
        <sz val="10"/>
        <rFont val="Noto Sans CJK SC"/>
        <family val="2"/>
      </rPr>
      <t xml:space="preserve">속도 측정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고도화</t>
    </r>
    <r>
      <rPr>
        <sz val="10"/>
        <rFont val="Arial"/>
        <family val="0"/>
        <charset val="1"/>
      </rPr>
      <t xml:space="preserve">)</t>
    </r>
  </si>
  <si>
    <t xml:space="preserve">필요 시</t>
  </si>
  <si>
    <r>
      <rPr>
        <sz val="10"/>
        <rFont val="Noto Sans CJK SC"/>
        <family val="2"/>
      </rPr>
      <t xml:space="preserve">회로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전자</t>
    </r>
  </si>
  <si>
    <t xml:space="preserve">브레드보드</t>
  </si>
  <si>
    <r>
      <rPr>
        <sz val="10"/>
        <rFont val="Arial"/>
        <family val="0"/>
        <charset val="1"/>
      </rPr>
      <t xml:space="preserve">830</t>
    </r>
    <r>
      <rPr>
        <sz val="10"/>
        <rFont val="Noto Sans CJK SC"/>
        <family val="2"/>
      </rPr>
      <t xml:space="preserve">핀 </t>
    </r>
    <r>
      <rPr>
        <sz val="10"/>
        <rFont val="Arial"/>
        <family val="0"/>
        <charset val="1"/>
      </rPr>
      <t xml:space="preserve">MB-102</t>
    </r>
  </si>
  <si>
    <t xml:space="preserve">프로토타입 배선</t>
  </si>
  <si>
    <t xml:space="preserve">디바이스마트</t>
  </si>
  <si>
    <t xml:space="preserve">점퍼선 세트</t>
  </si>
  <si>
    <r>
      <rPr>
        <sz val="10"/>
        <rFont val="Arial"/>
        <family val="0"/>
        <charset val="1"/>
      </rPr>
      <t xml:space="preserve">65</t>
    </r>
    <r>
      <rPr>
        <sz val="10"/>
        <rFont val="Noto Sans CJK SC"/>
        <family val="2"/>
      </rPr>
      <t xml:space="preserve">개입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여러 길이</t>
    </r>
    <r>
      <rPr>
        <sz val="10"/>
        <rFont val="Arial"/>
        <family val="0"/>
        <charset val="1"/>
      </rPr>
      <t xml:space="preserve">)</t>
    </r>
  </si>
  <si>
    <t xml:space="preserve">부품 연결</t>
  </si>
  <si>
    <r>
      <rPr>
        <sz val="10"/>
        <rFont val="Arial"/>
        <family val="0"/>
        <charset val="1"/>
      </rPr>
      <t xml:space="preserve">M-M/M-F </t>
    </r>
    <r>
      <rPr>
        <sz val="10"/>
        <rFont val="Noto Sans CJK SC"/>
        <family val="2"/>
      </rPr>
      <t xml:space="preserve">등</t>
    </r>
  </si>
  <si>
    <t xml:space="preserve">저항 키트</t>
  </si>
  <si>
    <t xml:space="preserve">다양한 값</t>
  </si>
  <si>
    <r>
      <rPr>
        <sz val="10"/>
        <rFont val="Noto Sans CJK SC"/>
        <family val="2"/>
      </rPr>
      <t xml:space="preserve">분압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전류제한</t>
    </r>
  </si>
  <si>
    <t xml:space="preserve">1k·2k·220~330Ω</t>
  </si>
  <si>
    <r>
      <rPr>
        <sz val="10"/>
        <rFont val="Noto Sans CJK SC"/>
        <family val="2"/>
      </rPr>
      <t xml:space="preserve">로직레벨 </t>
    </r>
    <r>
      <rPr>
        <sz val="10"/>
        <rFont val="Arial"/>
        <family val="0"/>
        <charset val="1"/>
      </rPr>
      <t xml:space="preserve">MOSFET</t>
    </r>
  </si>
  <si>
    <t xml:space="preserve">IRLZ44N</t>
  </si>
  <si>
    <r>
      <rPr>
        <sz val="10"/>
        <rFont val="Arial"/>
        <family val="0"/>
        <charset val="1"/>
      </rPr>
      <t xml:space="preserve">LED </t>
    </r>
    <r>
      <rPr>
        <sz val="10"/>
        <rFont val="Noto Sans CJK SC"/>
        <family val="2"/>
      </rPr>
      <t xml:space="preserve">스트립 스위칭</t>
    </r>
  </si>
  <si>
    <r>
      <rPr>
        <sz val="10"/>
        <rFont val="Arial"/>
        <family val="0"/>
        <charset val="1"/>
      </rPr>
      <t xml:space="preserve">GPIO </t>
    </r>
    <r>
      <rPr>
        <sz val="10"/>
        <rFont val="Noto Sans CJK SC"/>
        <family val="2"/>
      </rPr>
      <t xml:space="preserve">직접구동 금지</t>
    </r>
  </si>
  <si>
    <r>
      <rPr>
        <sz val="10"/>
        <rFont val="Noto Sans CJK SC"/>
        <family val="2"/>
      </rPr>
      <t xml:space="preserve">출력</t>
    </r>
    <r>
      <rPr>
        <sz val="10"/>
        <rFont val="Arial"/>
        <family val="0"/>
        <charset val="1"/>
      </rPr>
      <t xml:space="preserve">(LED)</t>
    </r>
  </si>
  <si>
    <r>
      <rPr>
        <sz val="10"/>
        <rFont val="Noto Sans CJK SC"/>
        <family val="2"/>
      </rPr>
      <t xml:space="preserve">일반 </t>
    </r>
    <r>
      <rPr>
        <sz val="10"/>
        <rFont val="Arial"/>
        <family val="0"/>
        <charset val="1"/>
      </rPr>
      <t xml:space="preserve">LED (</t>
    </r>
    <r>
      <rPr>
        <sz val="10"/>
        <rFont val="Noto Sans CJK SC"/>
        <family val="2"/>
      </rPr>
      <t xml:space="preserve">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녹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</si>
  <si>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5mm </t>
    </r>
    <r>
      <rPr>
        <sz val="10"/>
        <rFont val="Noto Sans CJK SC"/>
        <family val="2"/>
      </rPr>
      <t xml:space="preserve">세트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</si>
  <si>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신호 테스트</t>
    </r>
  </si>
  <si>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개 내외</t>
    </r>
  </si>
  <si>
    <r>
      <rPr>
        <sz val="10"/>
        <rFont val="Noto Sans CJK SC"/>
        <family val="2"/>
      </rPr>
      <t xml:space="preserve">주소지정형 </t>
    </r>
    <r>
      <rPr>
        <sz val="10"/>
        <rFont val="Arial"/>
        <family val="0"/>
        <charset val="1"/>
      </rPr>
      <t xml:space="preserve">LED </t>
    </r>
    <r>
      <rPr>
        <sz val="10"/>
        <rFont val="Noto Sans CJK SC"/>
        <family val="2"/>
      </rPr>
      <t xml:space="preserve">스트립</t>
    </r>
  </si>
  <si>
    <r>
      <rPr>
        <sz val="10"/>
        <rFont val="Arial"/>
        <family val="0"/>
        <charset val="1"/>
      </rPr>
      <t xml:space="preserve">WS2812B 1m/60</t>
    </r>
    <r>
      <rPr>
        <sz val="10"/>
        <rFont val="Noto Sans CJK SC"/>
        <family val="2"/>
      </rPr>
      <t xml:space="preserve">구</t>
    </r>
  </si>
  <si>
    <t xml:space="preserve">도로 화살표</t>
  </si>
  <si>
    <r>
      <rPr>
        <sz val="10"/>
        <rFont val="Noto Sans CJK SC"/>
        <family val="2"/>
      </rPr>
      <t xml:space="preserve">외부 </t>
    </r>
    <r>
      <rPr>
        <sz val="10"/>
        <rFont val="Arial"/>
        <family val="0"/>
        <charset val="1"/>
      </rPr>
      <t xml:space="preserve">5V </t>
    </r>
    <r>
      <rPr>
        <sz val="10"/>
        <rFont val="Noto Sans CJK SC"/>
        <family val="2"/>
      </rPr>
      <t xml:space="preserve">전원 필요</t>
    </r>
  </si>
  <si>
    <t xml:space="preserve">공구</t>
  </si>
  <si>
    <t xml:space="preserve">디지털 멀티미터</t>
  </si>
  <si>
    <t xml:space="preserve">입문용</t>
  </si>
  <si>
    <r>
      <rPr>
        <sz val="10"/>
        <rFont val="Noto Sans CJK SC"/>
        <family val="2"/>
      </rPr>
      <t xml:space="preserve">전압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도통 점검</t>
    </r>
  </si>
  <si>
    <r>
      <rPr>
        <sz val="10"/>
        <rFont val="Noto Sans CJK SC"/>
        <family val="2"/>
      </rPr>
      <t xml:space="preserve">입문용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만원대</t>
    </r>
  </si>
  <si>
    <t xml:space="preserve">나무위키(가격대)</t>
  </si>
  <si>
    <t xml:space="preserve">납땜 인두 세트</t>
  </si>
  <si>
    <t xml:space="preserve">기본형</t>
  </si>
  <si>
    <t xml:space="preserve">영구 결선</t>
  </si>
  <si>
    <r>
      <rPr>
        <sz val="10"/>
        <rFont val="Arial"/>
        <family val="0"/>
        <charset val="1"/>
      </rPr>
      <t xml:space="preserve">PCB/</t>
    </r>
    <r>
      <rPr>
        <sz val="10"/>
        <rFont val="Noto Sans CJK SC"/>
        <family val="2"/>
      </rPr>
      <t xml:space="preserve">하반기</t>
    </r>
  </si>
  <si>
    <r>
      <rPr>
        <sz val="10"/>
        <rFont val="Noto Sans CJK SC"/>
        <family val="2"/>
      </rPr>
      <t xml:space="preserve">모형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구조물</t>
    </r>
  </si>
  <si>
    <t xml:space="preserve">모형 교차로 재료</t>
  </si>
  <si>
    <r>
      <rPr>
        <sz val="10"/>
        <rFont val="Noto Sans CJK SC"/>
        <family val="2"/>
      </rPr>
      <t xml:space="preserve">폼보드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아크릴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장난감차 등</t>
    </r>
  </si>
  <si>
    <t xml:space="preserve">실내 데모 모형</t>
  </si>
  <si>
    <t xml:space="preserve">★중간평가 시연용</t>
  </si>
  <si>
    <r>
      <rPr>
        <sz val="10"/>
        <rFont val="Noto Sans CJK SC"/>
        <family val="2"/>
      </rPr>
      <t xml:space="preserve">방수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방진 하우징 재료</t>
    </r>
  </si>
  <si>
    <r>
      <rPr>
        <sz val="10"/>
        <rFont val="Noto Sans CJK SC"/>
        <family val="2"/>
      </rPr>
      <t xml:space="preserve">케이스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실리콘 등</t>
    </r>
  </si>
  <si>
    <t xml:space="preserve">하반기</t>
  </si>
  <si>
    <t xml:space="preserve">현장 설치용</t>
  </si>
  <si>
    <t xml:space="preserve">하반기 보문역</t>
  </si>
  <si>
    <t xml:space="preserve">기타</t>
  </si>
  <si>
    <r>
      <rPr>
        <sz val="10"/>
        <rFont val="Noto Sans CJK SC"/>
        <family val="2"/>
      </rPr>
      <t xml:space="preserve">소모품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여유분</t>
    </r>
  </si>
  <si>
    <t xml:space="preserve">예비 부품</t>
  </si>
  <si>
    <r>
      <rPr>
        <sz val="10"/>
        <rFont val="Noto Sans CJK SC"/>
        <family val="2"/>
      </rPr>
      <t xml:space="preserve">분실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파손 대비</t>
    </r>
  </si>
  <si>
    <t xml:space="preserve">합  계</t>
  </si>
  <si>
    <t xml:space="preserve">우선순위별 예산 요약</t>
  </si>
  <si>
    <r>
      <rPr>
        <sz val="10"/>
        <color rgb="FF000000"/>
        <rFont val="Noto Sans CJK SC"/>
        <family val="2"/>
      </rPr>
      <t xml:space="preserve">필수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즉시 구매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</si>
  <si>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선택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여유 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</si>
  <si>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하반기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현장용</t>
    </r>
    <r>
      <rPr>
        <sz val="10"/>
        <color rgb="FF000000"/>
        <rFont val="Arial"/>
        <family val="0"/>
        <charset val="1"/>
      </rPr>
      <t xml:space="preserve">)</t>
    </r>
  </si>
  <si>
    <t xml:space="preserve">총  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</si>
</sst>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910023"/>
      <name val="Arial"/>
      <family val="0"/>
      <charset val="1"/>
    </font>
    <font>
      <b val="true"/>
      <sz val="10"/>
      <color rgb="FF6E0019"/>
      <name val="Arial"/>
      <family val="0"/>
      <charset val="1"/>
    </font>
    <font>
      <b val="true"/>
      <sz val="10"/>
      <color rgb="FF6E0019"/>
      <name val="Noto Sans CJK SC"/>
      <family val="2"/>
    </font>
    <font>
      <i val="true"/>
      <sz val="9"/>
      <color rgb="FF6E0019"/>
      <name val="Arial"/>
      <family val="0"/>
      <charset val="1"/>
    </font>
    <font>
      <i val="true"/>
      <sz val="9"/>
      <color rgb="FF6E0019"/>
      <name val="Noto Sans CJK SC"/>
      <family val="2"/>
    </font>
    <font>
      <b val="true"/>
      <sz val="10"/>
      <color rgb="FFE7DECE"/>
      <name val="Noto Sans CJK SC"/>
      <family val="2"/>
    </font>
    <font>
      <b val="true"/>
      <sz val="10"/>
      <color rgb="FFE7DECE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u val="single"/>
      <sz val="9"/>
      <color rgb="FF910023"/>
      <name val="Noto Sans CJK SC"/>
      <family val="2"/>
    </font>
    <font>
      <i val="true"/>
      <sz val="9"/>
      <color rgb="FF9A8E84"/>
      <name val="Noto Sans CJK SC"/>
      <family val="2"/>
    </font>
    <font>
      <b val="true"/>
      <sz val="11"/>
      <color rgb="FFE7DECE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910023"/>
        <bgColor rgb="FF6E0019"/>
      </patternFill>
    </fill>
    <fill>
      <patternFill patternType="solid">
        <fgColor rgb="FFF6EFE0"/>
        <bgColor rgb="FFFBF3DC"/>
      </patternFill>
    </fill>
    <fill>
      <patternFill patternType="solid">
        <fgColor rgb="FFF2D9DE"/>
        <bgColor rgb="FFE7DECE"/>
      </patternFill>
    </fill>
    <fill>
      <patternFill patternType="solid">
        <fgColor rgb="FFFBF3DC"/>
        <bgColor rgb="FFF6EFE0"/>
      </patternFill>
    </fill>
    <fill>
      <patternFill patternType="solid">
        <fgColor rgb="FFEFE7D4"/>
        <bgColor rgb="FFEAEAEA"/>
      </patternFill>
    </fill>
    <fill>
      <patternFill patternType="solid">
        <fgColor rgb="FFEAEAEA"/>
        <bgColor rgb="FFEFE7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3C4"/>
      </left>
      <right style="thin">
        <color rgb="FFDCD3C4"/>
      </right>
      <top style="thin">
        <color rgb="FFDCD3C4"/>
      </top>
      <bottom style="thin">
        <color rgb="FFDCD3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EFE0"/>
      <rgbColor rgb="FFFF0000"/>
      <rgbColor rgb="FF00FF00"/>
      <rgbColor rgb="FF0000FF"/>
      <rgbColor rgb="FFFFFF00"/>
      <rgbColor rgb="FFFF00FF"/>
      <rgbColor rgb="FF00FFFF"/>
      <rgbColor rgb="FF6E0019"/>
      <rgbColor rgb="FF008000"/>
      <rgbColor rgb="FF000080"/>
      <rgbColor rgb="FF808000"/>
      <rgbColor rgb="FF800080"/>
      <rgbColor rgb="FF008080"/>
      <rgbColor rgb="FFDCD3C4"/>
      <rgbColor rgb="FF808080"/>
      <rgbColor rgb="FF9999FF"/>
      <rgbColor rgb="FF993366"/>
      <rgbColor rgb="FFFBF3DC"/>
      <rgbColor rgb="FFEAEAEA"/>
      <rgbColor rgb="FF660066"/>
      <rgbColor rgb="FFFF8080"/>
      <rgbColor rgb="FF0066CC"/>
      <rgbColor rgb="FFF2D9DE"/>
      <rgbColor rgb="FF000080"/>
      <rgbColor rgb="FFFF00FF"/>
      <rgbColor rgb="FFFFFF00"/>
      <rgbColor rgb="FF00FFFF"/>
      <rgbColor rgb="FF800080"/>
      <rgbColor rgb="FF910023"/>
      <rgbColor rgb="FF008080"/>
      <rgbColor rgb="FF0000FF"/>
      <rgbColor rgb="FF00CCFF"/>
      <rgbColor rgb="FFCCFFFF"/>
      <rgbColor rgb="FFEFE7D4"/>
      <rgbColor rgb="FFFFFF99"/>
      <rgbColor rgb="FF99CCFF"/>
      <rgbColor rgb="FFFF99CC"/>
      <rgbColor rgb="FFCC99FF"/>
      <rgbColor rgb="FFE7DECE"/>
      <rgbColor rgb="FF3366FF"/>
      <rgbColor rgb="FF33CCCC"/>
      <rgbColor rgb="FF99CC00"/>
      <rgbColor rgb="FFFFCC00"/>
      <rgbColor rgb="FFFF9900"/>
      <rgbColor rgb="FFFF6600"/>
      <rgbColor rgb="FF666699"/>
      <rgbColor rgb="FF9A8E8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460800</xdr:colOff>
      <xdr:row>2</xdr:row>
      <xdr:rowOff>56880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cbanq.com/P009430569" TargetMode="External"/><Relationship Id="rId2" Type="http://schemas.openxmlformats.org/officeDocument/2006/relationships/hyperlink" Target="https://www.icbanq.com/P013483569" TargetMode="External"/><Relationship Id="rId3" Type="http://schemas.openxmlformats.org/officeDocument/2006/relationships/hyperlink" Target="https://codedosa.com/364" TargetMode="External"/><Relationship Id="rId4" Type="http://schemas.openxmlformats.org/officeDocument/2006/relationships/hyperlink" Target="https://eduino.kr/product/detail.html?product_no=39" TargetMode="External"/><Relationship Id="rId5" Type="http://schemas.openxmlformats.org/officeDocument/2006/relationships/hyperlink" Target="https://www.devicemart.co.kr/goods/view?no=1322408" TargetMode="External"/><Relationship Id="rId6" Type="http://schemas.openxmlformats.org/officeDocument/2006/relationships/hyperlink" Target="https://www.icbanq.com/P005638667" TargetMode="External"/><Relationship Id="rId7" Type="http://schemas.openxmlformats.org/officeDocument/2006/relationships/hyperlink" Target="https://www.icbanq.com/P014162724" TargetMode="External"/><Relationship Id="rId8" Type="http://schemas.openxmlformats.org/officeDocument/2006/relationships/hyperlink" Target="https://namu.wiki/w/&#47680;&#54000;&#48120;&#53552;" TargetMode="External"/><Relationship Id="rId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18"/>
  </cols>
  <sheetData>
    <row r="1" customFormat="false" ht="30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</row>
    <row r="3" customFormat="false" ht="4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7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customFormat="false" ht="15" hidden="false" customHeight="false" outlineLevel="0" collapsed="false">
      <c r="A6" s="6" t="n">
        <v>1</v>
      </c>
      <c r="B6" s="7" t="s">
        <v>14</v>
      </c>
      <c r="C6" s="8" t="s">
        <v>15</v>
      </c>
      <c r="D6" s="9" t="s">
        <v>16</v>
      </c>
      <c r="E6" s="10" t="s">
        <v>17</v>
      </c>
      <c r="F6" s="11" t="n">
        <v>1</v>
      </c>
      <c r="G6" s="12" t="n">
        <v>152000</v>
      </c>
      <c r="H6" s="13" t="n">
        <f aca="false">F6*G6</f>
        <v>152000</v>
      </c>
      <c r="I6" s="8" t="s">
        <v>18</v>
      </c>
      <c r="J6" s="8" t="s">
        <v>19</v>
      </c>
      <c r="K6" s="14" t="s">
        <v>20</v>
      </c>
    </row>
    <row r="7" customFormat="false" ht="15" hidden="false" customHeight="false" outlineLevel="0" collapsed="false">
      <c r="A7" s="6" t="n">
        <v>2</v>
      </c>
      <c r="B7" s="7" t="s">
        <v>14</v>
      </c>
      <c r="C7" s="8" t="s">
        <v>21</v>
      </c>
      <c r="D7" s="9" t="s">
        <v>22</v>
      </c>
      <c r="E7" s="10" t="s">
        <v>17</v>
      </c>
      <c r="F7" s="11" t="n">
        <v>1</v>
      </c>
      <c r="G7" s="12" t="n">
        <v>11800</v>
      </c>
      <c r="H7" s="13" t="n">
        <f aca="false">F7*G7</f>
        <v>11800</v>
      </c>
      <c r="I7" s="8" t="s">
        <v>23</v>
      </c>
      <c r="J7" s="8" t="s">
        <v>24</v>
      </c>
      <c r="K7" s="14" t="s">
        <v>20</v>
      </c>
    </row>
    <row r="8" customFormat="false" ht="15" hidden="false" customHeight="false" outlineLevel="0" collapsed="false">
      <c r="A8" s="6" t="n">
        <v>3</v>
      </c>
      <c r="B8" s="7" t="s">
        <v>14</v>
      </c>
      <c r="C8" s="9" t="s">
        <v>25</v>
      </c>
      <c r="D8" s="9" t="s">
        <v>26</v>
      </c>
      <c r="E8" s="10" t="s">
        <v>17</v>
      </c>
      <c r="F8" s="11" t="n">
        <v>1</v>
      </c>
      <c r="G8" s="12" t="n">
        <v>8000</v>
      </c>
      <c r="H8" s="13" t="n">
        <f aca="false">F8*G8</f>
        <v>8000</v>
      </c>
      <c r="I8" s="9" t="s">
        <v>27</v>
      </c>
      <c r="J8" s="9" t="s">
        <v>28</v>
      </c>
      <c r="K8" s="14" t="s">
        <v>29</v>
      </c>
    </row>
    <row r="9" customFormat="false" ht="15" hidden="false" customHeight="false" outlineLevel="0" collapsed="false">
      <c r="A9" s="6" t="n">
        <v>4</v>
      </c>
      <c r="B9" s="7" t="s">
        <v>14</v>
      </c>
      <c r="C9" s="8" t="s">
        <v>30</v>
      </c>
      <c r="D9" s="9" t="s">
        <v>31</v>
      </c>
      <c r="E9" s="15" t="s">
        <v>32</v>
      </c>
      <c r="F9" s="11" t="n">
        <v>1</v>
      </c>
      <c r="G9" s="12" t="n">
        <v>8000</v>
      </c>
      <c r="H9" s="13" t="n">
        <f aca="false">F9*G9</f>
        <v>8000</v>
      </c>
      <c r="I9" s="8" t="s">
        <v>33</v>
      </c>
      <c r="J9" s="8" t="s">
        <v>34</v>
      </c>
      <c r="K9" s="16" t="s">
        <v>35</v>
      </c>
    </row>
    <row r="10" customFormat="false" ht="29.85" hidden="false" customHeight="false" outlineLevel="0" collapsed="false">
      <c r="A10" s="6" t="n">
        <v>5</v>
      </c>
      <c r="B10" s="7" t="s">
        <v>36</v>
      </c>
      <c r="C10" s="8" t="s">
        <v>37</v>
      </c>
      <c r="D10" s="9" t="s">
        <v>38</v>
      </c>
      <c r="E10" s="10" t="s">
        <v>17</v>
      </c>
      <c r="F10" s="11" t="n">
        <v>3</v>
      </c>
      <c r="G10" s="12" t="n">
        <v>2000</v>
      </c>
      <c r="H10" s="13" t="n">
        <f aca="false">F10*G10</f>
        <v>6000</v>
      </c>
      <c r="I10" s="8" t="s">
        <v>39</v>
      </c>
      <c r="J10" s="8" t="s">
        <v>40</v>
      </c>
      <c r="K10" s="14" t="s">
        <v>41</v>
      </c>
    </row>
    <row r="11" customFormat="false" ht="15" hidden="false" customHeight="false" outlineLevel="0" collapsed="false">
      <c r="A11" s="6" t="n">
        <v>6</v>
      </c>
      <c r="B11" s="7" t="s">
        <v>36</v>
      </c>
      <c r="C11" s="8" t="s">
        <v>42</v>
      </c>
      <c r="D11" s="9" t="s">
        <v>43</v>
      </c>
      <c r="E11" s="15" t="s">
        <v>32</v>
      </c>
      <c r="F11" s="11" t="n">
        <v>2</v>
      </c>
      <c r="G11" s="12" t="n">
        <v>2500</v>
      </c>
      <c r="H11" s="13" t="n">
        <f aca="false">F11*G11</f>
        <v>5000</v>
      </c>
      <c r="I11" s="8" t="s">
        <v>44</v>
      </c>
      <c r="J11" s="8" t="s">
        <v>45</v>
      </c>
      <c r="K11" s="16" t="s">
        <v>35</v>
      </c>
    </row>
    <row r="12" customFormat="false" ht="15" hidden="false" customHeight="false" outlineLevel="0" collapsed="false">
      <c r="A12" s="6" t="n">
        <v>7</v>
      </c>
      <c r="B12" s="7" t="s">
        <v>36</v>
      </c>
      <c r="C12" s="8" t="s">
        <v>46</v>
      </c>
      <c r="D12" s="9" t="s">
        <v>47</v>
      </c>
      <c r="E12" s="15" t="s">
        <v>32</v>
      </c>
      <c r="F12" s="11" t="n">
        <v>1</v>
      </c>
      <c r="G12" s="12" t="n">
        <v>8000</v>
      </c>
      <c r="H12" s="13" t="n">
        <f aca="false">F12*G12</f>
        <v>8000</v>
      </c>
      <c r="I12" s="8" t="s">
        <v>48</v>
      </c>
      <c r="J12" s="8" t="s">
        <v>49</v>
      </c>
      <c r="K12" s="16" t="s">
        <v>35</v>
      </c>
    </row>
    <row r="13" customFormat="false" ht="15" hidden="false" customHeight="false" outlineLevel="0" collapsed="false">
      <c r="A13" s="6" t="n">
        <v>8</v>
      </c>
      <c r="B13" s="7" t="s">
        <v>50</v>
      </c>
      <c r="C13" s="8" t="s">
        <v>51</v>
      </c>
      <c r="D13" s="9" t="s">
        <v>52</v>
      </c>
      <c r="E13" s="10" t="s">
        <v>17</v>
      </c>
      <c r="F13" s="11" t="n">
        <v>1</v>
      </c>
      <c r="G13" s="12" t="n">
        <v>3500</v>
      </c>
      <c r="H13" s="13" t="n">
        <f aca="false">F13*G13</f>
        <v>3500</v>
      </c>
      <c r="I13" s="8" t="s">
        <v>53</v>
      </c>
      <c r="J13" s="9"/>
      <c r="K13" s="14" t="s">
        <v>54</v>
      </c>
    </row>
    <row r="14" customFormat="false" ht="15" hidden="false" customHeight="false" outlineLevel="0" collapsed="false">
      <c r="A14" s="6" t="n">
        <v>9</v>
      </c>
      <c r="B14" s="7" t="s">
        <v>50</v>
      </c>
      <c r="C14" s="8" t="s">
        <v>55</v>
      </c>
      <c r="D14" s="9" t="s">
        <v>56</v>
      </c>
      <c r="E14" s="10" t="s">
        <v>17</v>
      </c>
      <c r="F14" s="11" t="n">
        <v>1</v>
      </c>
      <c r="G14" s="12" t="n">
        <v>4000</v>
      </c>
      <c r="H14" s="13" t="n">
        <f aca="false">F14*G14</f>
        <v>4000</v>
      </c>
      <c r="I14" s="8" t="s">
        <v>57</v>
      </c>
      <c r="J14" s="9" t="s">
        <v>58</v>
      </c>
      <c r="K14" s="14" t="s">
        <v>20</v>
      </c>
    </row>
    <row r="15" customFormat="false" ht="15" hidden="false" customHeight="false" outlineLevel="0" collapsed="false">
      <c r="A15" s="6" t="n">
        <v>10</v>
      </c>
      <c r="B15" s="7" t="s">
        <v>50</v>
      </c>
      <c r="C15" s="8" t="s">
        <v>59</v>
      </c>
      <c r="D15" s="8" t="s">
        <v>60</v>
      </c>
      <c r="E15" s="10" t="s">
        <v>17</v>
      </c>
      <c r="F15" s="11" t="n">
        <v>1</v>
      </c>
      <c r="G15" s="12" t="n">
        <v>6000</v>
      </c>
      <c r="H15" s="13" t="n">
        <f aca="false">F15*G15</f>
        <v>6000</v>
      </c>
      <c r="I15" s="8" t="s">
        <v>61</v>
      </c>
      <c r="J15" s="9" t="s">
        <v>62</v>
      </c>
      <c r="K15" s="16" t="s">
        <v>35</v>
      </c>
    </row>
    <row r="16" customFormat="false" ht="15" hidden="false" customHeight="false" outlineLevel="0" collapsed="false">
      <c r="A16" s="6" t="n">
        <v>11</v>
      </c>
      <c r="B16" s="7" t="s">
        <v>50</v>
      </c>
      <c r="C16" s="8" t="s">
        <v>63</v>
      </c>
      <c r="D16" s="9" t="s">
        <v>64</v>
      </c>
      <c r="E16" s="15" t="s">
        <v>32</v>
      </c>
      <c r="F16" s="11" t="n">
        <v>5</v>
      </c>
      <c r="G16" s="12" t="n">
        <v>1000</v>
      </c>
      <c r="H16" s="13" t="n">
        <f aca="false">F16*G16</f>
        <v>5000</v>
      </c>
      <c r="I16" s="9" t="s">
        <v>65</v>
      </c>
      <c r="J16" s="9" t="s">
        <v>66</v>
      </c>
      <c r="K16" s="16" t="s">
        <v>35</v>
      </c>
    </row>
    <row r="17" customFormat="false" ht="15" hidden="false" customHeight="false" outlineLevel="0" collapsed="false">
      <c r="A17" s="6" t="n">
        <v>12</v>
      </c>
      <c r="B17" s="7" t="s">
        <v>67</v>
      </c>
      <c r="C17" s="8" t="s">
        <v>68</v>
      </c>
      <c r="D17" s="9" t="s">
        <v>69</v>
      </c>
      <c r="E17" s="10" t="s">
        <v>17</v>
      </c>
      <c r="F17" s="11" t="n">
        <v>1</v>
      </c>
      <c r="G17" s="12" t="n">
        <v>3000</v>
      </c>
      <c r="H17" s="13" t="n">
        <f aca="false">F17*G17</f>
        <v>3000</v>
      </c>
      <c r="I17" s="9" t="s">
        <v>70</v>
      </c>
      <c r="J17" s="8" t="s">
        <v>71</v>
      </c>
      <c r="K17" s="16" t="s">
        <v>35</v>
      </c>
    </row>
    <row r="18" customFormat="false" ht="15" hidden="false" customHeight="false" outlineLevel="0" collapsed="false">
      <c r="A18" s="6" t="n">
        <v>13</v>
      </c>
      <c r="B18" s="7" t="s">
        <v>67</v>
      </c>
      <c r="C18" s="8" t="s">
        <v>72</v>
      </c>
      <c r="D18" s="9" t="s">
        <v>73</v>
      </c>
      <c r="E18" s="15" t="s">
        <v>32</v>
      </c>
      <c r="F18" s="11" t="n">
        <v>1</v>
      </c>
      <c r="G18" s="12" t="n">
        <v>10500</v>
      </c>
      <c r="H18" s="13" t="n">
        <f aca="false">F18*G18</f>
        <v>10500</v>
      </c>
      <c r="I18" s="8" t="s">
        <v>74</v>
      </c>
      <c r="J18" s="8" t="s">
        <v>75</v>
      </c>
      <c r="K18" s="14" t="s">
        <v>20</v>
      </c>
    </row>
    <row r="19" customFormat="false" ht="15" hidden="false" customHeight="false" outlineLevel="0" collapsed="false">
      <c r="A19" s="6" t="n">
        <v>14</v>
      </c>
      <c r="B19" s="7" t="s">
        <v>76</v>
      </c>
      <c r="C19" s="8" t="s">
        <v>77</v>
      </c>
      <c r="D19" s="8" t="s">
        <v>78</v>
      </c>
      <c r="E19" s="10" t="s">
        <v>17</v>
      </c>
      <c r="F19" s="11" t="n">
        <v>1</v>
      </c>
      <c r="G19" s="12" t="n">
        <v>13000</v>
      </c>
      <c r="H19" s="13" t="n">
        <f aca="false">F19*G19</f>
        <v>13000</v>
      </c>
      <c r="I19" s="8" t="s">
        <v>79</v>
      </c>
      <c r="J19" s="8" t="s">
        <v>80</v>
      </c>
      <c r="K19" s="14" t="s">
        <v>81</v>
      </c>
    </row>
    <row r="20" customFormat="false" ht="15" hidden="false" customHeight="false" outlineLevel="0" collapsed="false">
      <c r="A20" s="6" t="n">
        <v>15</v>
      </c>
      <c r="B20" s="7" t="s">
        <v>76</v>
      </c>
      <c r="C20" s="8" t="s">
        <v>82</v>
      </c>
      <c r="D20" s="8" t="s">
        <v>83</v>
      </c>
      <c r="E20" s="15" t="s">
        <v>32</v>
      </c>
      <c r="F20" s="11" t="n">
        <v>1</v>
      </c>
      <c r="G20" s="12" t="n">
        <v>18000</v>
      </c>
      <c r="H20" s="13" t="n">
        <f aca="false">F20*G20</f>
        <v>18000</v>
      </c>
      <c r="I20" s="8" t="s">
        <v>84</v>
      </c>
      <c r="J20" s="9" t="s">
        <v>85</v>
      </c>
      <c r="K20" s="16" t="s">
        <v>35</v>
      </c>
    </row>
    <row r="21" customFormat="false" ht="15" hidden="false" customHeight="false" outlineLevel="0" collapsed="false">
      <c r="A21" s="6" t="n">
        <v>16</v>
      </c>
      <c r="B21" s="7" t="s">
        <v>86</v>
      </c>
      <c r="C21" s="8" t="s">
        <v>87</v>
      </c>
      <c r="D21" s="8" t="s">
        <v>88</v>
      </c>
      <c r="E21" s="10" t="s">
        <v>17</v>
      </c>
      <c r="F21" s="11" t="n">
        <v>1</v>
      </c>
      <c r="G21" s="12" t="n">
        <v>25000</v>
      </c>
      <c r="H21" s="13" t="n">
        <f aca="false">F21*G21</f>
        <v>25000</v>
      </c>
      <c r="I21" s="8" t="s">
        <v>89</v>
      </c>
      <c r="J21" s="8" t="s">
        <v>90</v>
      </c>
      <c r="K21" s="16" t="s">
        <v>35</v>
      </c>
    </row>
    <row r="22" customFormat="false" ht="15" hidden="false" customHeight="false" outlineLevel="0" collapsed="false">
      <c r="A22" s="6" t="n">
        <v>17</v>
      </c>
      <c r="B22" s="7" t="s">
        <v>86</v>
      </c>
      <c r="C22" s="8" t="s">
        <v>91</v>
      </c>
      <c r="D22" s="8" t="s">
        <v>92</v>
      </c>
      <c r="E22" s="17" t="s">
        <v>93</v>
      </c>
      <c r="F22" s="11" t="n">
        <v>1</v>
      </c>
      <c r="G22" s="12" t="n">
        <v>25000</v>
      </c>
      <c r="H22" s="13" t="n">
        <f aca="false">F22*G22</f>
        <v>25000</v>
      </c>
      <c r="I22" s="8" t="s">
        <v>94</v>
      </c>
      <c r="J22" s="8" t="s">
        <v>95</v>
      </c>
      <c r="K22" s="16" t="s">
        <v>35</v>
      </c>
    </row>
    <row r="23" customFormat="false" ht="15" hidden="false" customHeight="false" outlineLevel="0" collapsed="false">
      <c r="A23" s="6" t="n">
        <v>18</v>
      </c>
      <c r="B23" s="7" t="s">
        <v>96</v>
      </c>
      <c r="C23" s="8" t="s">
        <v>97</v>
      </c>
      <c r="D23" s="8" t="s">
        <v>98</v>
      </c>
      <c r="E23" s="10" t="s">
        <v>17</v>
      </c>
      <c r="F23" s="11" t="n">
        <v>1</v>
      </c>
      <c r="G23" s="12" t="n">
        <v>10000</v>
      </c>
      <c r="H23" s="13" t="n">
        <f aca="false">F23*G23</f>
        <v>10000</v>
      </c>
      <c r="I23" s="8" t="s">
        <v>99</v>
      </c>
      <c r="J23" s="9"/>
      <c r="K23" s="16" t="s">
        <v>35</v>
      </c>
    </row>
    <row r="24" customFormat="false" ht="15" hidden="false" customHeight="false" outlineLevel="0" collapsed="false">
      <c r="A24" s="18"/>
      <c r="B24" s="19" t="s">
        <v>100</v>
      </c>
      <c r="C24" s="18"/>
      <c r="D24" s="18"/>
      <c r="E24" s="18"/>
      <c r="F24" s="18"/>
      <c r="G24" s="18"/>
      <c r="H24" s="20" t="n">
        <f aca="false">SUM(H6:H23)</f>
        <v>321800</v>
      </c>
      <c r="I24" s="18"/>
      <c r="J24" s="18"/>
      <c r="K24" s="18"/>
    </row>
    <row r="26" customFormat="false" ht="15" hidden="false" customHeight="false" outlineLevel="0" collapsed="false">
      <c r="B26" s="21" t="s">
        <v>101</v>
      </c>
      <c r="C26" s="21"/>
    </row>
    <row r="27" customFormat="false" ht="15" hidden="false" customHeight="false" outlineLevel="0" collapsed="false">
      <c r="B27" s="22" t="s">
        <v>102</v>
      </c>
      <c r="C27" s="23" t="n">
        <f aca="false">SUMIF(E6:E23,"필수",H6:H23)</f>
        <v>242300</v>
      </c>
    </row>
    <row r="28" customFormat="false" ht="15" hidden="false" customHeight="false" outlineLevel="0" collapsed="false">
      <c r="B28" s="22" t="s">
        <v>103</v>
      </c>
      <c r="C28" s="23" t="n">
        <f aca="false">SUMIF(E6:E23,"선택",H6:H23)</f>
        <v>54500</v>
      </c>
    </row>
    <row r="29" customFormat="false" ht="15" hidden="false" customHeight="false" outlineLevel="0" collapsed="false">
      <c r="B29" s="22" t="s">
        <v>104</v>
      </c>
      <c r="C29" s="23" t="n">
        <f aca="false">SUMIF(E6:E23,"하반기",H6:H23)</f>
        <v>25000</v>
      </c>
    </row>
    <row r="30" customFormat="false" ht="15" hidden="false" customHeight="false" outlineLevel="0" collapsed="false">
      <c r="B30" s="24" t="s">
        <v>105</v>
      </c>
      <c r="C30" s="20" t="n">
        <f aca="false">SUM(H6:H23)</f>
        <v>321800</v>
      </c>
    </row>
  </sheetData>
  <mergeCells count="4">
    <mergeCell ref="C1:K1"/>
    <mergeCell ref="C2:K2"/>
    <mergeCell ref="A4:K4"/>
    <mergeCell ref="B26:C26"/>
  </mergeCells>
  <hyperlinks>
    <hyperlink ref="K6" r:id="rId1" display="아이씨뱅큐"/>
    <hyperlink ref="K7" r:id="rId2" display="아이씨뱅큐"/>
    <hyperlink ref="K8" r:id="rId3" display="시중가 참고"/>
    <hyperlink ref="K10" r:id="rId4" display="에듀이노(기본형)"/>
    <hyperlink ref="K13" r:id="rId5" display="디바이스마트"/>
    <hyperlink ref="K14" r:id="rId6" display="아이씨뱅큐"/>
    <hyperlink ref="K18" r:id="rId7" display="아이씨뱅큐"/>
    <hyperlink ref="K19" r:id="rId8" display="나무위키(가격대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2026-06-05T07:22:02Z</dcterms:created>
  <dc:creator>openpyxl</dc:creator>
  <dc:description/>
  <dc:language>en-US</dc:language>
  <cp:lastModifiedBy/>
  <dcterms:modified xsi:type="dcterms:W3CDTF">2026-06-05T07:22:02Z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